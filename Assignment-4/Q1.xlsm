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827" codeName="{3D1A710C-6663-3D7B-7F91-EC182F24A4B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Jiawei\Course\simulation\Assignment 4\"/>
    </mc:Choice>
  </mc:AlternateContent>
  <xr:revisionPtr revIDLastSave="0" documentId="13_ncr:1_{C70F89AC-55FB-4779-A04A-15AC4F5536A1}" xr6:coauthVersionLast="37" xr6:coauthVersionMax="37" xr10:uidLastSave="{00000000-0000-0000-0000-000000000000}"/>
  <bookViews>
    <workbookView xWindow="0" yWindow="0" windowWidth="17268" windowHeight="5400" tabRatio="500" xr2:uid="{00000000-000D-0000-FFFF-FFFF00000000}"/>
  </bookViews>
  <sheets>
    <sheet name="UniformST" sheetId="1" r:id="rId1"/>
  </sheets>
  <calcPr calcId="179021" calcOnSave="0" concurrentCalc="0"/>
  <extLs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2" i="1" l="1"/>
  <c r="I2" i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E2" i="1"/>
  <c r="F2" i="1"/>
  <c r="E3" i="1"/>
  <c r="F3" i="1"/>
  <c r="E4" i="1"/>
  <c r="F4" i="1"/>
  <c r="E5" i="1"/>
  <c r="F5" i="1"/>
  <c r="E6" i="1"/>
  <c r="F6" i="1"/>
  <c r="E7" i="1"/>
  <c r="F7" i="1"/>
  <c r="E8" i="1"/>
  <c r="F8" i="1"/>
  <c r="E9" i="1"/>
  <c r="F9" i="1"/>
  <c r="E10" i="1"/>
  <c r="F10" i="1"/>
  <c r="E11" i="1"/>
  <c r="F11" i="1"/>
  <c r="E12" i="1"/>
  <c r="F12" i="1"/>
  <c r="E13" i="1"/>
  <c r="F13" i="1"/>
  <c r="E14" i="1"/>
  <c r="F14" i="1"/>
  <c r="E15" i="1"/>
  <c r="F15" i="1"/>
  <c r="E16" i="1"/>
  <c r="F16" i="1"/>
  <c r="E17" i="1"/>
  <c r="F17" i="1"/>
  <c r="E18" i="1"/>
  <c r="F18" i="1"/>
  <c r="E19" i="1"/>
  <c r="F19" i="1"/>
  <c r="E20" i="1"/>
  <c r="F20" i="1"/>
  <c r="E21" i="1"/>
  <c r="F21" i="1"/>
  <c r="E22" i="1"/>
  <c r="F22" i="1"/>
  <c r="E23" i="1"/>
  <c r="F23" i="1"/>
  <c r="E24" i="1"/>
  <c r="F24" i="1"/>
  <c r="E25" i="1"/>
  <c r="F25" i="1"/>
  <c r="E26" i="1"/>
  <c r="F26" i="1"/>
  <c r="E27" i="1"/>
  <c r="F27" i="1"/>
  <c r="E28" i="1"/>
  <c r="F28" i="1"/>
  <c r="E29" i="1"/>
  <c r="F29" i="1"/>
  <c r="E30" i="1"/>
  <c r="F30" i="1"/>
  <c r="E31" i="1"/>
  <c r="F31" i="1"/>
  <c r="D32" i="1"/>
  <c r="E32" i="1"/>
  <c r="F32" i="1"/>
  <c r="D33" i="1"/>
  <c r="E33" i="1"/>
  <c r="F33" i="1"/>
  <c r="D34" i="1"/>
  <c r="E34" i="1"/>
  <c r="F34" i="1"/>
  <c r="D35" i="1"/>
  <c r="E35" i="1"/>
  <c r="F35" i="1"/>
  <c r="D36" i="1"/>
  <c r="E36" i="1"/>
  <c r="F36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3" i="1"/>
  <c r="U2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3" i="1"/>
  <c r="S2" i="1"/>
  <c r="G31" i="1"/>
  <c r="G32" i="1"/>
  <c r="G33" i="1"/>
  <c r="G34" i="1"/>
  <c r="G35" i="1"/>
  <c r="G36" i="1"/>
  <c r="G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Q2" i="1"/>
  <c r="N31" i="1"/>
  <c r="N32" i="1"/>
  <c r="N33" i="1"/>
  <c r="N34" i="1"/>
  <c r="N35" i="1"/>
  <c r="N36" i="1"/>
  <c r="N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P2" i="1"/>
  <c r="O2" i="1"/>
  <c r="K31" i="1"/>
  <c r="K32" i="1"/>
  <c r="K33" i="1"/>
  <c r="K34" i="1"/>
  <c r="K35" i="1"/>
  <c r="K36" i="1"/>
  <c r="K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M2" i="1"/>
  <c r="L3" i="1"/>
  <c r="J2" i="1"/>
  <c r="H2" i="1"/>
</calcChain>
</file>

<file path=xl/sharedStrings.xml><?xml version="1.0" encoding="utf-8"?>
<sst xmlns="http://schemas.openxmlformats.org/spreadsheetml/2006/main" count="21" uniqueCount="19">
  <si>
    <t>Agent ID</t>
  </si>
  <si>
    <t>Arrival Time</t>
  </si>
  <si>
    <t>Service Start Time</t>
  </si>
  <si>
    <t>Service End Time</t>
  </si>
  <si>
    <t>Max_WT</t>
  </si>
  <si>
    <t>Aver_WT</t>
  </si>
  <si>
    <t>#of Agent in queue</t>
  </si>
  <si>
    <t>Aver</t>
  </si>
  <si>
    <t>Max</t>
  </si>
  <si>
    <t>Cycle Time</t>
  </si>
  <si>
    <t>Server Utilization Rate</t>
  </si>
  <si>
    <t>N_arrival</t>
  </si>
  <si>
    <t>departure_second</t>
  </si>
  <si>
    <t>N_departure</t>
  </si>
  <si>
    <t>Interarrival Time/min</t>
    <phoneticPr fontId="3" type="noConversion"/>
  </si>
  <si>
    <t>Service Time Duration/min</t>
    <phoneticPr fontId="3" type="noConversion"/>
  </si>
  <si>
    <t>Waiting Time in Queue/min</t>
    <phoneticPr fontId="3" type="noConversion"/>
  </si>
  <si>
    <t>arrival_min</t>
    <phoneticPr fontId="3" type="noConversion"/>
  </si>
  <si>
    <t>Total_WT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</si>
</sst>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00"/>
  </numFmts>
  <fonts count="4" x14ac:knownFonts="1">
    <font>
      <sz val="12"/>
      <color theme="1"/>
      <name val="宋体"/>
      <family val="2"/>
      <charset val="129"/>
      <scheme val="minor"/>
    </font>
    <font>
      <u/>
      <sz val="12"/>
      <color theme="10"/>
      <name val="宋体"/>
      <family val="2"/>
      <charset val="129"/>
      <scheme val="minor"/>
    </font>
    <font>
      <u/>
      <sz val="12"/>
      <color theme="11"/>
      <name val="宋体"/>
      <family val="2"/>
      <charset val="129"/>
      <scheme val="minor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7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4">
    <xf numFmtId="0" fontId="0" fillId="0" borderId="0" xfId="0"/>
    <xf numFmtId="2" fontId="0" fillId="0" borderId="0" xfId="0" applyNumberFormat="1"/>
    <xf numFmtId="1" fontId="0" fillId="0" borderId="0" xfId="0" applyNumberFormat="1"/>
    <xf numFmtId="176" fontId="0" fillId="0" borderId="0" xfId="0" applyNumberFormat="1"/>
  </cellXfs>
  <cellStyles count="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36"/>
  <sheetViews>
    <sheetView tabSelected="1" topLeftCell="D1" workbookViewId="0">
      <pane ySplit="1" topLeftCell="A2" activePane="bottomLeft" state="frozen"/>
      <selection pane="bottomLeft" activeCell="I13" sqref="I13"/>
    </sheetView>
  </sheetViews>
  <sheetFormatPr defaultColWidth="11.19921875" defaultRowHeight="15.3" x14ac:dyDescent="0.45"/>
  <cols>
    <col min="1" max="1" width="8.19921875" bestFit="1" customWidth="1"/>
    <col min="2" max="2" width="21.296875" bestFit="1" customWidth="1"/>
    <col min="3" max="3" width="25.69921875" bestFit="1" customWidth="1"/>
    <col min="4" max="4" width="13.046875" bestFit="1" customWidth="1"/>
    <col min="5" max="5" width="16" bestFit="1" customWidth="1"/>
    <col min="6" max="6" width="17.25" bestFit="1" customWidth="1"/>
    <col min="7" max="7" width="26.5" bestFit="1" customWidth="1"/>
    <col min="8" max="8" width="8.8984375" bestFit="1" customWidth="1"/>
    <col min="9" max="9" width="8.8984375" customWidth="1"/>
    <col min="10" max="10" width="8.69921875" bestFit="1" customWidth="1"/>
    <col min="11" max="11" width="16.69921875" bestFit="1" customWidth="1"/>
    <col min="12" max="12" width="12.19921875" bestFit="1" customWidth="1"/>
    <col min="13" max="13" width="4.796875" bestFit="1" customWidth="1"/>
    <col min="14" max="14" width="12.19921875" bestFit="1" customWidth="1"/>
    <col min="15" max="15" width="5" bestFit="1" customWidth="1"/>
    <col min="16" max="16" width="4.796875" bestFit="1" customWidth="1"/>
    <col min="17" max="17" width="19.296875" bestFit="1" customWidth="1"/>
    <col min="18" max="18" width="13.19921875" bestFit="1" customWidth="1"/>
    <col min="20" max="20" width="16.296875" bestFit="1" customWidth="1"/>
  </cols>
  <sheetData>
    <row r="1" spans="1:21" x14ac:dyDescent="0.45">
      <c r="A1" t="s">
        <v>0</v>
      </c>
      <c r="B1" t="s">
        <v>14</v>
      </c>
      <c r="C1" t="s">
        <v>15</v>
      </c>
      <c r="D1" t="s">
        <v>1</v>
      </c>
      <c r="E1" t="s">
        <v>2</v>
      </c>
      <c r="F1" t="s">
        <v>3</v>
      </c>
      <c r="G1" t="s">
        <v>16</v>
      </c>
      <c r="H1" t="s">
        <v>4</v>
      </c>
      <c r="I1" t="s">
        <v>18</v>
      </c>
      <c r="J1" t="s">
        <v>5</v>
      </c>
      <c r="K1" t="s">
        <v>6</v>
      </c>
      <c r="L1" t="s">
        <v>7</v>
      </c>
      <c r="M1" t="s">
        <v>8</v>
      </c>
      <c r="N1" t="s">
        <v>9</v>
      </c>
      <c r="O1" t="s">
        <v>7</v>
      </c>
      <c r="P1" t="s">
        <v>8</v>
      </c>
      <c r="Q1" t="s">
        <v>10</v>
      </c>
      <c r="R1" t="s">
        <v>17</v>
      </c>
      <c r="S1" t="s">
        <v>11</v>
      </c>
      <c r="T1" t="s">
        <v>12</v>
      </c>
      <c r="U1" t="s">
        <v>13</v>
      </c>
    </row>
    <row r="2" spans="1:21" x14ac:dyDescent="0.45">
      <c r="A2">
        <v>1</v>
      </c>
      <c r="B2" s="1">
        <v>0.58144393441751852</v>
      </c>
      <c r="C2" s="1">
        <v>4.3566278887867727</v>
      </c>
      <c r="D2" s="1">
        <f>B2</f>
        <v>0.58144393441751852</v>
      </c>
      <c r="E2" s="1">
        <f>D2</f>
        <v>0.58144393441751852</v>
      </c>
      <c r="F2" s="1">
        <f t="shared" ref="F2:F30" si="0">E2+C2</f>
        <v>4.9380718232042913</v>
      </c>
      <c r="G2">
        <f t="shared" ref="G2:G30" si="1">E2-D2</f>
        <v>0</v>
      </c>
      <c r="H2" s="1">
        <f>MAX(G2:G36)</f>
        <v>25.142575796468421</v>
      </c>
      <c r="I2" s="1">
        <f>SUM(G2:G36)</f>
        <v>278.61097225964625</v>
      </c>
      <c r="J2" s="1">
        <f>AVERAGE(G2:G36)</f>
        <v>7.9603134931327499</v>
      </c>
      <c r="K2" s="2">
        <f>COUNTIF(E2,"&lt;"&amp;D2)</f>
        <v>0</v>
      </c>
      <c r="L2">
        <f>SUM(K2:K36)/COUNTIF(K2:K36,"&gt;"&amp;0)</f>
        <v>2.8666666666666667</v>
      </c>
      <c r="M2" s="2">
        <f>MAX(K2:K36)</f>
        <v>7</v>
      </c>
      <c r="N2" s="1">
        <f>F2-D2</f>
        <v>4.3566278887867727</v>
      </c>
      <c r="O2" s="2">
        <f>AVERAGE(N2:N36)</f>
        <v>11.673299248867758</v>
      </c>
      <c r="P2" s="2">
        <f>MAX(N2:N36)</f>
        <v>29.405783709784188</v>
      </c>
      <c r="Q2" s="3">
        <f>COUNTIF(G2:G36,"&lt;&gt;"&amp;0)/COUNT(G2:G36)</f>
        <v>0.8571428571428571</v>
      </c>
      <c r="R2">
        <v>0</v>
      </c>
      <c r="S2" s="2">
        <f>COUNTIF($D$2:$D$36,"&lt;"&amp;R2)</f>
        <v>0</v>
      </c>
      <c r="T2">
        <v>0</v>
      </c>
      <c r="U2" s="2">
        <f>COUNTIF($F$2:$F$36,"&lt;"&amp;T2)</f>
        <v>0</v>
      </c>
    </row>
    <row r="3" spans="1:21" x14ac:dyDescent="0.45">
      <c r="A3">
        <v>2</v>
      </c>
      <c r="B3" s="1">
        <v>8.1636681514581557</v>
      </c>
      <c r="C3" s="1">
        <v>4.1192010268305523</v>
      </c>
      <c r="D3" s="1">
        <f>D2+B3</f>
        <v>8.7451120858756735</v>
      </c>
      <c r="E3" s="1">
        <f t="shared" ref="E3:E30" si="2">MAX(D3,F2)</f>
        <v>8.7451120858756735</v>
      </c>
      <c r="F3" s="1">
        <f>E3+C3</f>
        <v>12.864313112706226</v>
      </c>
      <c r="G3" s="1">
        <f t="shared" si="1"/>
        <v>0</v>
      </c>
      <c r="K3" s="2">
        <f>COUNTIF($E$2:E3,"&gt;"&amp;D3)</f>
        <v>0</v>
      </c>
      <c r="L3">
        <f>COUNTIF(K2:K36,"&gt;"&amp;0)</f>
        <v>30</v>
      </c>
      <c r="N3">
        <f t="shared" ref="N3:N30" si="3">F3-D3</f>
        <v>4.1192010268305523</v>
      </c>
      <c r="R3">
        <v>5</v>
      </c>
      <c r="S3" s="2">
        <f>COUNTIF($D$2:$D$36,"&lt;"&amp;R3)</f>
        <v>1</v>
      </c>
      <c r="T3">
        <v>5</v>
      </c>
      <c r="U3" s="2">
        <f>COUNTIF($F$2:$F$36,"&lt;"&amp;T3)</f>
        <v>1</v>
      </c>
    </row>
    <row r="4" spans="1:21" x14ac:dyDescent="0.45">
      <c r="A4">
        <v>3</v>
      </c>
      <c r="B4" s="1">
        <v>1.3598529888488611</v>
      </c>
      <c r="C4" s="1">
        <v>3.7368749985285694</v>
      </c>
      <c r="D4" s="1">
        <f t="shared" ref="D4:D30" si="4">D3+B4</f>
        <v>10.104965074724534</v>
      </c>
      <c r="E4" s="1">
        <f t="shared" si="2"/>
        <v>12.864313112706226</v>
      </c>
      <c r="F4" s="1">
        <f t="shared" si="0"/>
        <v>16.601188111234794</v>
      </c>
      <c r="G4" s="1">
        <f t="shared" si="1"/>
        <v>2.7593480379816917</v>
      </c>
      <c r="K4" s="2">
        <f>COUNTIF($E$2:E4,"&gt;"&amp;D4)</f>
        <v>1</v>
      </c>
      <c r="N4">
        <f t="shared" si="3"/>
        <v>6.4962230365102602</v>
      </c>
      <c r="R4">
        <v>10</v>
      </c>
      <c r="S4" s="2">
        <f t="shared" ref="S4:S26" si="5">COUNTIF($D$2:$D$36,"&lt;"&amp;R4)</f>
        <v>2</v>
      </c>
      <c r="T4">
        <v>10</v>
      </c>
      <c r="U4" s="2">
        <f t="shared" ref="U4:U26" si="6">COUNTIF($F$2:$F$36,"&lt;"&amp;T4)</f>
        <v>1</v>
      </c>
    </row>
    <row r="5" spans="1:21" x14ac:dyDescent="0.45">
      <c r="A5">
        <v>4</v>
      </c>
      <c r="B5" s="1">
        <v>1.2475554095602397</v>
      </c>
      <c r="C5" s="1">
        <v>4.0194001655771929</v>
      </c>
      <c r="D5" s="1">
        <f t="shared" si="4"/>
        <v>11.352520484284774</v>
      </c>
      <c r="E5" s="1">
        <f t="shared" si="2"/>
        <v>16.601188111234794</v>
      </c>
      <c r="F5" s="1">
        <f t="shared" si="0"/>
        <v>20.620588276811986</v>
      </c>
      <c r="G5" s="1">
        <f t="shared" si="1"/>
        <v>5.2486676269500201</v>
      </c>
      <c r="K5" s="2">
        <f>COUNTIF($E$2:E5,"&gt;"&amp;D5)</f>
        <v>2</v>
      </c>
      <c r="N5">
        <f t="shared" si="3"/>
        <v>9.2680677925272121</v>
      </c>
      <c r="R5">
        <v>15</v>
      </c>
      <c r="S5" s="2">
        <f t="shared" si="5"/>
        <v>4</v>
      </c>
      <c r="T5">
        <v>15</v>
      </c>
      <c r="U5" s="2">
        <f t="shared" si="6"/>
        <v>2</v>
      </c>
    </row>
    <row r="6" spans="1:21" x14ac:dyDescent="0.45">
      <c r="A6">
        <v>5</v>
      </c>
      <c r="B6" s="1">
        <v>7.1626924256158393</v>
      </c>
      <c r="C6" s="1">
        <v>4.0614514275566318</v>
      </c>
      <c r="D6" s="1">
        <f t="shared" si="4"/>
        <v>18.515212909900612</v>
      </c>
      <c r="E6" s="1">
        <f t="shared" si="2"/>
        <v>20.620588276811986</v>
      </c>
      <c r="F6" s="1">
        <f t="shared" si="0"/>
        <v>24.68203970436862</v>
      </c>
      <c r="G6" s="1">
        <f t="shared" si="1"/>
        <v>2.1053753669113746</v>
      </c>
      <c r="K6" s="2">
        <f>COUNTIF($E$2:E6,"&gt;"&amp;D6)</f>
        <v>1</v>
      </c>
      <c r="N6">
        <f t="shared" si="3"/>
        <v>6.1668267944680082</v>
      </c>
      <c r="R6">
        <v>20</v>
      </c>
      <c r="S6" s="2">
        <f t="shared" si="5"/>
        <v>6</v>
      </c>
      <c r="T6">
        <v>20</v>
      </c>
      <c r="U6" s="2">
        <f t="shared" si="6"/>
        <v>3</v>
      </c>
    </row>
    <row r="7" spans="1:21" x14ac:dyDescent="0.45">
      <c r="A7">
        <v>6</v>
      </c>
      <c r="B7" s="1">
        <v>1.3311586569462752</v>
      </c>
      <c r="C7" s="1">
        <v>4.2302986505644782</v>
      </c>
      <c r="D7" s="1">
        <f t="shared" si="4"/>
        <v>19.846371566846887</v>
      </c>
      <c r="E7" s="1">
        <f t="shared" si="2"/>
        <v>24.68203970436862</v>
      </c>
      <c r="F7" s="1">
        <f t="shared" si="0"/>
        <v>28.912338354933098</v>
      </c>
      <c r="G7" s="1">
        <f t="shared" si="1"/>
        <v>4.8356681375217327</v>
      </c>
      <c r="K7" s="2">
        <f>COUNTIF($E$2:E7,"&gt;"&amp;D7)</f>
        <v>2</v>
      </c>
      <c r="N7">
        <f t="shared" si="3"/>
        <v>9.0659667880862109</v>
      </c>
      <c r="R7">
        <v>25</v>
      </c>
      <c r="S7" s="2">
        <f t="shared" si="5"/>
        <v>7</v>
      </c>
      <c r="T7">
        <v>25</v>
      </c>
      <c r="U7" s="2">
        <f t="shared" si="6"/>
        <v>5</v>
      </c>
    </row>
    <row r="8" spans="1:21" x14ac:dyDescent="0.45">
      <c r="A8">
        <v>7</v>
      </c>
      <c r="B8" s="1">
        <v>2.0177244237134357</v>
      </c>
      <c r="C8" s="1">
        <v>4.0594606863405271</v>
      </c>
      <c r="D8" s="1">
        <f t="shared" si="4"/>
        <v>21.864095990560322</v>
      </c>
      <c r="E8" s="1">
        <f t="shared" si="2"/>
        <v>28.912338354933098</v>
      </c>
      <c r="F8" s="1">
        <f t="shared" si="0"/>
        <v>32.971799041273627</v>
      </c>
      <c r="G8" s="1">
        <f t="shared" si="1"/>
        <v>7.0482423643727756</v>
      </c>
      <c r="K8" s="2">
        <f>COUNTIF($E$2:E8,"&gt;"&amp;D8)</f>
        <v>2</v>
      </c>
      <c r="N8">
        <f t="shared" si="3"/>
        <v>11.107703050713305</v>
      </c>
      <c r="R8">
        <v>30</v>
      </c>
      <c r="S8" s="2">
        <f t="shared" si="5"/>
        <v>8</v>
      </c>
      <c r="T8">
        <v>30</v>
      </c>
      <c r="U8" s="2">
        <f t="shared" si="6"/>
        <v>6</v>
      </c>
    </row>
    <row r="9" spans="1:21" x14ac:dyDescent="0.45">
      <c r="A9">
        <v>8</v>
      </c>
      <c r="B9" s="1">
        <v>5.4764083464042725</v>
      </c>
      <c r="C9" s="1">
        <v>2.6410113229606385</v>
      </c>
      <c r="D9" s="1">
        <f t="shared" si="4"/>
        <v>27.340504336964596</v>
      </c>
      <c r="E9" s="1">
        <f t="shared" si="2"/>
        <v>32.971799041273627</v>
      </c>
      <c r="F9" s="1">
        <f t="shared" si="0"/>
        <v>35.612810364234264</v>
      </c>
      <c r="G9" s="1">
        <f t="shared" si="1"/>
        <v>5.6312947043090311</v>
      </c>
      <c r="K9" s="2">
        <f>COUNTIF($E$2:E9,"&gt;"&amp;D9)</f>
        <v>2</v>
      </c>
      <c r="N9">
        <f t="shared" si="3"/>
        <v>8.2723060272696678</v>
      </c>
      <c r="R9">
        <v>35</v>
      </c>
      <c r="S9" s="2">
        <f t="shared" si="5"/>
        <v>10</v>
      </c>
      <c r="T9">
        <v>35</v>
      </c>
      <c r="U9" s="2">
        <f t="shared" si="6"/>
        <v>7</v>
      </c>
    </row>
    <row r="10" spans="1:21" x14ac:dyDescent="0.45">
      <c r="A10">
        <v>9</v>
      </c>
      <c r="B10" s="1">
        <v>6.0631704355598206</v>
      </c>
      <c r="C10" s="1">
        <v>4.2618437308567607</v>
      </c>
      <c r="D10" s="1">
        <f t="shared" si="4"/>
        <v>33.403674772524418</v>
      </c>
      <c r="E10" s="1">
        <f t="shared" si="2"/>
        <v>35.612810364234264</v>
      </c>
      <c r="F10" s="1">
        <f t="shared" si="0"/>
        <v>39.874654095091024</v>
      </c>
      <c r="G10" s="1">
        <f t="shared" si="1"/>
        <v>2.2091355917098454</v>
      </c>
      <c r="K10" s="2">
        <f>COUNTIF($E$2:E10,"&gt;"&amp;D10)</f>
        <v>1</v>
      </c>
      <c r="N10">
        <f t="shared" si="3"/>
        <v>6.4709793225666061</v>
      </c>
      <c r="R10">
        <v>40</v>
      </c>
      <c r="S10" s="2">
        <f t="shared" si="5"/>
        <v>13</v>
      </c>
      <c r="T10">
        <v>40</v>
      </c>
      <c r="U10" s="2">
        <f t="shared" si="6"/>
        <v>9</v>
      </c>
    </row>
    <row r="11" spans="1:21" x14ac:dyDescent="0.45">
      <c r="A11">
        <v>10</v>
      </c>
      <c r="B11" s="1">
        <v>1.1847233940290527</v>
      </c>
      <c r="C11" s="1">
        <v>4.3284511614291024</v>
      </c>
      <c r="D11" s="1">
        <f t="shared" si="4"/>
        <v>34.588398166553468</v>
      </c>
      <c r="E11" s="1">
        <f t="shared" si="2"/>
        <v>39.874654095091024</v>
      </c>
      <c r="F11" s="1">
        <f t="shared" si="0"/>
        <v>44.203105256520125</v>
      </c>
      <c r="G11" s="1">
        <f t="shared" si="1"/>
        <v>5.2862559285375568</v>
      </c>
      <c r="K11" s="2">
        <f>COUNTIF($E$2:E11,"&gt;"&amp;D11)</f>
        <v>2</v>
      </c>
      <c r="N11" s="1">
        <f>F11-D11</f>
        <v>9.6147070899666573</v>
      </c>
      <c r="R11">
        <v>45</v>
      </c>
      <c r="S11" s="2">
        <f t="shared" si="5"/>
        <v>13</v>
      </c>
      <c r="T11">
        <v>45</v>
      </c>
      <c r="U11" s="2">
        <f t="shared" si="6"/>
        <v>10</v>
      </c>
    </row>
    <row r="12" spans="1:21" x14ac:dyDescent="0.45">
      <c r="A12">
        <v>11</v>
      </c>
      <c r="B12" s="1">
        <v>1.0975261732437414</v>
      </c>
      <c r="C12" s="1">
        <v>4.3704613235397822</v>
      </c>
      <c r="D12" s="1">
        <f t="shared" si="4"/>
        <v>35.685924339797211</v>
      </c>
      <c r="E12" s="1">
        <f t="shared" si="2"/>
        <v>44.203105256520125</v>
      </c>
      <c r="F12" s="1">
        <f t="shared" si="0"/>
        <v>48.573566580059904</v>
      </c>
      <c r="G12" s="1">
        <f t="shared" si="1"/>
        <v>8.5171809167229142</v>
      </c>
      <c r="K12" s="2">
        <f>COUNTIF($E$2:E12,"&gt;"&amp;D12)</f>
        <v>2</v>
      </c>
      <c r="N12" s="1">
        <f>F12-D12</f>
        <v>12.887642240262693</v>
      </c>
      <c r="R12">
        <v>50</v>
      </c>
      <c r="S12" s="2">
        <f t="shared" si="5"/>
        <v>13</v>
      </c>
      <c r="T12">
        <v>50</v>
      </c>
      <c r="U12" s="2">
        <f t="shared" si="6"/>
        <v>11</v>
      </c>
    </row>
    <row r="13" spans="1:21" x14ac:dyDescent="0.45">
      <c r="A13">
        <v>12</v>
      </c>
      <c r="B13" s="1">
        <v>0.24129965285582747</v>
      </c>
      <c r="C13" s="1">
        <v>4.0019414311042745</v>
      </c>
      <c r="D13" s="1">
        <f t="shared" si="4"/>
        <v>35.92722399265304</v>
      </c>
      <c r="E13" s="1">
        <f t="shared" si="2"/>
        <v>48.573566580059904</v>
      </c>
      <c r="F13" s="1">
        <f t="shared" si="0"/>
        <v>52.575508011164175</v>
      </c>
      <c r="G13" s="1">
        <f t="shared" si="1"/>
        <v>12.646342587406863</v>
      </c>
      <c r="K13" s="2">
        <f>COUNTIF($E$2:E13,"&gt;"&amp;D13)</f>
        <v>3</v>
      </c>
      <c r="N13">
        <f t="shared" si="3"/>
        <v>16.648284018511134</v>
      </c>
      <c r="R13">
        <v>55</v>
      </c>
      <c r="S13" s="2">
        <f t="shared" si="5"/>
        <v>15</v>
      </c>
      <c r="T13">
        <v>55</v>
      </c>
      <c r="U13" s="2">
        <f t="shared" si="6"/>
        <v>12</v>
      </c>
    </row>
    <row r="14" spans="1:21" x14ac:dyDescent="0.45">
      <c r="A14">
        <v>13</v>
      </c>
      <c r="B14" s="1">
        <v>3.3765537386151574</v>
      </c>
      <c r="C14" s="1">
        <v>4.0242869400039316</v>
      </c>
      <c r="D14" s="1">
        <f t="shared" si="4"/>
        <v>39.303777731268198</v>
      </c>
      <c r="E14" s="1">
        <f t="shared" si="2"/>
        <v>52.575508011164175</v>
      </c>
      <c r="F14" s="1">
        <f t="shared" si="0"/>
        <v>56.599794951168107</v>
      </c>
      <c r="G14" s="1">
        <f t="shared" si="1"/>
        <v>13.271730279895976</v>
      </c>
      <c r="K14" s="2">
        <f>COUNTIF($E$2:E14,"&gt;"&amp;D14)</f>
        <v>4</v>
      </c>
      <c r="N14">
        <f t="shared" si="3"/>
        <v>17.296017219899909</v>
      </c>
      <c r="R14">
        <v>60</v>
      </c>
      <c r="S14" s="2">
        <f t="shared" si="5"/>
        <v>15</v>
      </c>
      <c r="T14">
        <v>60</v>
      </c>
      <c r="U14" s="2">
        <f t="shared" si="6"/>
        <v>14</v>
      </c>
    </row>
    <row r="15" spans="1:21" x14ac:dyDescent="0.45">
      <c r="A15">
        <v>14</v>
      </c>
      <c r="B15" s="1">
        <v>11.586370683808642</v>
      </c>
      <c r="C15" s="1">
        <v>2.5582345184483879</v>
      </c>
      <c r="D15" s="1">
        <f t="shared" si="4"/>
        <v>50.890148415076837</v>
      </c>
      <c r="E15" s="1">
        <f t="shared" si="2"/>
        <v>56.599794951168107</v>
      </c>
      <c r="F15" s="1">
        <f t="shared" si="0"/>
        <v>59.158029469616494</v>
      </c>
      <c r="G15" s="1">
        <f t="shared" si="1"/>
        <v>5.7096465360912703</v>
      </c>
      <c r="K15" s="2">
        <f>COUNTIF($E$2:E15,"&gt;"&amp;D15)</f>
        <v>2</v>
      </c>
      <c r="N15">
        <f t="shared" si="3"/>
        <v>8.2678810545396573</v>
      </c>
      <c r="R15">
        <v>65</v>
      </c>
      <c r="S15" s="2">
        <f t="shared" si="5"/>
        <v>18</v>
      </c>
      <c r="T15">
        <v>65</v>
      </c>
      <c r="U15" s="2">
        <f t="shared" si="6"/>
        <v>15</v>
      </c>
    </row>
    <row r="16" spans="1:21" x14ac:dyDescent="0.45">
      <c r="A16">
        <v>15</v>
      </c>
      <c r="B16" s="1">
        <v>2.0296719541312203</v>
      </c>
      <c r="C16" s="1">
        <v>3.8364472191007826</v>
      </c>
      <c r="D16" s="1">
        <f t="shared" si="4"/>
        <v>52.919820369208054</v>
      </c>
      <c r="E16" s="1">
        <f t="shared" si="2"/>
        <v>59.158029469616494</v>
      </c>
      <c r="F16" s="1">
        <f t="shared" si="0"/>
        <v>62.994476688717278</v>
      </c>
      <c r="G16" s="1">
        <f t="shared" si="1"/>
        <v>6.2382091004084401</v>
      </c>
      <c r="K16" s="2">
        <f>COUNTIF($E$2:E16,"&gt;"&amp;D16)</f>
        <v>2</v>
      </c>
      <c r="N16">
        <f t="shared" si="3"/>
        <v>10.074656319509224</v>
      </c>
      <c r="R16">
        <v>70</v>
      </c>
      <c r="S16" s="2">
        <f t="shared" si="5"/>
        <v>18</v>
      </c>
      <c r="T16">
        <v>70</v>
      </c>
      <c r="U16" s="2">
        <f t="shared" si="6"/>
        <v>17</v>
      </c>
    </row>
    <row r="17" spans="1:21" x14ac:dyDescent="0.45">
      <c r="A17">
        <v>16</v>
      </c>
      <c r="B17" s="1">
        <v>7.6838967726705771</v>
      </c>
      <c r="C17" s="1">
        <v>2.5189961435970938</v>
      </c>
      <c r="D17" s="1">
        <f t="shared" si="4"/>
        <v>60.603717141878633</v>
      </c>
      <c r="E17" s="1">
        <f t="shared" si="2"/>
        <v>62.994476688717278</v>
      </c>
      <c r="F17" s="1">
        <f t="shared" si="0"/>
        <v>65.513472832314378</v>
      </c>
      <c r="G17" s="1">
        <f t="shared" si="1"/>
        <v>2.3907595468386447</v>
      </c>
      <c r="K17" s="2">
        <f>COUNTIF($E$2:E17,"&gt;"&amp;D17)</f>
        <v>1</v>
      </c>
      <c r="N17">
        <f t="shared" si="3"/>
        <v>4.9097556904357447</v>
      </c>
      <c r="R17">
        <v>75</v>
      </c>
      <c r="S17" s="2">
        <f t="shared" si="5"/>
        <v>18</v>
      </c>
      <c r="T17">
        <v>75</v>
      </c>
      <c r="U17" s="2">
        <f t="shared" si="6"/>
        <v>18</v>
      </c>
    </row>
    <row r="18" spans="1:21" x14ac:dyDescent="0.45">
      <c r="A18">
        <v>17</v>
      </c>
      <c r="B18" s="1">
        <v>3.5009182610176968</v>
      </c>
      <c r="C18" s="1">
        <v>3.6650786777646815</v>
      </c>
      <c r="D18" s="1">
        <f t="shared" si="4"/>
        <v>64.104635402896335</v>
      </c>
      <c r="E18" s="1">
        <f t="shared" si="2"/>
        <v>65.513472832314378</v>
      </c>
      <c r="F18" s="1">
        <f t="shared" si="0"/>
        <v>69.17855151007906</v>
      </c>
      <c r="G18" s="1">
        <f t="shared" si="1"/>
        <v>1.4088374294180426</v>
      </c>
      <c r="K18" s="2">
        <f>COUNTIF($E$2:E18,"&gt;"&amp;D18)</f>
        <v>1</v>
      </c>
      <c r="N18">
        <f t="shared" si="3"/>
        <v>5.0739161071827255</v>
      </c>
      <c r="R18">
        <v>80</v>
      </c>
      <c r="S18" s="2">
        <f t="shared" si="5"/>
        <v>18</v>
      </c>
      <c r="T18">
        <v>80</v>
      </c>
      <c r="U18" s="2">
        <f t="shared" si="6"/>
        <v>18</v>
      </c>
    </row>
    <row r="19" spans="1:21" x14ac:dyDescent="0.45">
      <c r="A19">
        <v>18</v>
      </c>
      <c r="B19" s="1">
        <v>0.17599370791703528</v>
      </c>
      <c r="C19" s="1">
        <v>2.8002952610808141</v>
      </c>
      <c r="D19" s="1">
        <f t="shared" si="4"/>
        <v>64.280629110813365</v>
      </c>
      <c r="E19" s="1">
        <f t="shared" si="2"/>
        <v>69.17855151007906</v>
      </c>
      <c r="F19" s="1">
        <f t="shared" si="0"/>
        <v>71.97884677115988</v>
      </c>
      <c r="G19" s="1">
        <f t="shared" si="1"/>
        <v>4.8979223992656955</v>
      </c>
      <c r="K19" s="2">
        <f>COUNTIF($E$2:E19,"&gt;"&amp;D19)</f>
        <v>2</v>
      </c>
      <c r="N19">
        <f t="shared" si="3"/>
        <v>7.6982176603465149</v>
      </c>
      <c r="R19">
        <v>85</v>
      </c>
      <c r="S19" s="2">
        <f t="shared" si="5"/>
        <v>20</v>
      </c>
      <c r="T19">
        <v>85</v>
      </c>
      <c r="U19" s="2">
        <f t="shared" si="6"/>
        <v>19</v>
      </c>
    </row>
    <row r="20" spans="1:21" x14ac:dyDescent="0.45">
      <c r="A20">
        <v>19</v>
      </c>
      <c r="B20" s="1">
        <v>16.308637130129085</v>
      </c>
      <c r="C20" s="1">
        <v>2.7676770276955018</v>
      </c>
      <c r="D20" s="1">
        <f t="shared" si="4"/>
        <v>80.58926624094245</v>
      </c>
      <c r="E20" s="1">
        <f t="shared" si="2"/>
        <v>80.58926624094245</v>
      </c>
      <c r="F20" s="1">
        <f t="shared" si="0"/>
        <v>83.356943268637949</v>
      </c>
      <c r="G20" s="1">
        <f t="shared" si="1"/>
        <v>0</v>
      </c>
      <c r="K20" s="2">
        <f>COUNTIF($E$2:E20,"&gt;"&amp;D20)</f>
        <v>0</v>
      </c>
      <c r="N20">
        <f t="shared" si="3"/>
        <v>2.7676770276954983</v>
      </c>
      <c r="R20">
        <v>90</v>
      </c>
      <c r="S20" s="2">
        <f t="shared" si="5"/>
        <v>22</v>
      </c>
      <c r="T20">
        <v>90</v>
      </c>
      <c r="U20" s="2">
        <f t="shared" si="6"/>
        <v>20</v>
      </c>
    </row>
    <row r="21" spans="1:21" x14ac:dyDescent="0.45">
      <c r="A21">
        <v>20</v>
      </c>
      <c r="B21" s="1">
        <v>2.048572711820436</v>
      </c>
      <c r="C21" s="1">
        <v>2.5822198038299797</v>
      </c>
      <c r="D21" s="1">
        <f t="shared" si="4"/>
        <v>82.637838952762891</v>
      </c>
      <c r="E21" s="1">
        <f t="shared" si="2"/>
        <v>83.356943268637949</v>
      </c>
      <c r="F21" s="1">
        <f t="shared" si="0"/>
        <v>85.939163072467935</v>
      </c>
      <c r="G21" s="1">
        <f t="shared" si="1"/>
        <v>0.71910431587505741</v>
      </c>
      <c r="K21" s="2">
        <f>COUNTIF($E$2:E21,"&gt;"&amp;D21)</f>
        <v>1</v>
      </c>
      <c r="N21">
        <f t="shared" si="3"/>
        <v>3.3013241197050434</v>
      </c>
      <c r="R21">
        <v>95</v>
      </c>
      <c r="S21" s="2">
        <f t="shared" si="5"/>
        <v>22</v>
      </c>
      <c r="T21">
        <v>95</v>
      </c>
      <c r="U21" s="2">
        <f t="shared" si="6"/>
        <v>22</v>
      </c>
    </row>
    <row r="22" spans="1:21" x14ac:dyDescent="0.45">
      <c r="A22">
        <v>21</v>
      </c>
      <c r="B22" s="1">
        <v>4.3658943403064496</v>
      </c>
      <c r="C22" s="1">
        <v>3.5318843370425577</v>
      </c>
      <c r="D22" s="1">
        <f t="shared" si="4"/>
        <v>87.003733293069345</v>
      </c>
      <c r="E22" s="1">
        <f t="shared" si="2"/>
        <v>87.003733293069345</v>
      </c>
      <c r="F22" s="1">
        <f t="shared" si="0"/>
        <v>90.535617630111901</v>
      </c>
      <c r="G22" s="1">
        <f t="shared" si="1"/>
        <v>0</v>
      </c>
      <c r="K22" s="2">
        <f>COUNTIF($E$2:E22,"&gt;"&amp;D22)</f>
        <v>0</v>
      </c>
      <c r="N22">
        <f t="shared" si="3"/>
        <v>3.5318843370425554</v>
      </c>
      <c r="R22">
        <v>100</v>
      </c>
      <c r="S22" s="2">
        <f t="shared" si="5"/>
        <v>23</v>
      </c>
      <c r="T22">
        <v>100</v>
      </c>
      <c r="U22" s="2">
        <f t="shared" si="6"/>
        <v>22</v>
      </c>
    </row>
    <row r="23" spans="1:21" x14ac:dyDescent="0.45">
      <c r="A23">
        <v>22</v>
      </c>
      <c r="B23" s="1">
        <v>1.8077382416769971</v>
      </c>
      <c r="C23" s="1">
        <v>3.3512362269162139</v>
      </c>
      <c r="D23" s="1">
        <f t="shared" si="4"/>
        <v>88.811471534746346</v>
      </c>
      <c r="E23" s="1">
        <f t="shared" si="2"/>
        <v>90.535617630111901</v>
      </c>
      <c r="F23" s="1">
        <f t="shared" si="0"/>
        <v>93.886853857028115</v>
      </c>
      <c r="G23" s="1">
        <f t="shared" si="1"/>
        <v>1.7241460953655547</v>
      </c>
      <c r="K23" s="2">
        <f>COUNTIF($E$2:E23,"&gt;"&amp;D23)</f>
        <v>1</v>
      </c>
      <c r="N23">
        <f t="shared" si="3"/>
        <v>5.0753823222817687</v>
      </c>
      <c r="R23">
        <v>105</v>
      </c>
      <c r="S23" s="2">
        <f t="shared" si="5"/>
        <v>27</v>
      </c>
      <c r="T23">
        <v>105</v>
      </c>
      <c r="U23" s="2">
        <f t="shared" si="6"/>
        <v>23</v>
      </c>
    </row>
    <row r="24" spans="1:21" x14ac:dyDescent="0.45">
      <c r="A24">
        <v>23</v>
      </c>
      <c r="B24" s="1">
        <v>9.9945608468040632</v>
      </c>
      <c r="C24" s="1">
        <v>3.510697250017202</v>
      </c>
      <c r="D24" s="1">
        <f t="shared" si="4"/>
        <v>98.806032381550409</v>
      </c>
      <c r="E24" s="1">
        <f t="shared" si="2"/>
        <v>98.806032381550409</v>
      </c>
      <c r="F24" s="1">
        <f t="shared" si="0"/>
        <v>102.31672963156761</v>
      </c>
      <c r="G24" s="1">
        <f t="shared" si="1"/>
        <v>0</v>
      </c>
      <c r="K24" s="2">
        <f>COUNTIF($E$2:E24,"&gt;"&amp;D24)</f>
        <v>0</v>
      </c>
      <c r="N24">
        <f t="shared" si="3"/>
        <v>3.510697250017202</v>
      </c>
      <c r="R24">
        <v>110</v>
      </c>
      <c r="S24" s="2">
        <f t="shared" si="5"/>
        <v>30</v>
      </c>
      <c r="T24">
        <v>110</v>
      </c>
      <c r="U24" s="2">
        <f t="shared" si="6"/>
        <v>25</v>
      </c>
    </row>
    <row r="25" spans="1:21" x14ac:dyDescent="0.45">
      <c r="A25">
        <v>24</v>
      </c>
      <c r="B25" s="1">
        <v>1.6037101480389349</v>
      </c>
      <c r="C25" s="1">
        <v>2.872931611278605</v>
      </c>
      <c r="D25" s="1">
        <f t="shared" si="4"/>
        <v>100.40974252958934</v>
      </c>
      <c r="E25" s="1">
        <f t="shared" si="2"/>
        <v>102.31672963156761</v>
      </c>
      <c r="F25" s="1">
        <f t="shared" si="0"/>
        <v>105.18966124284621</v>
      </c>
      <c r="G25" s="1">
        <f t="shared" si="1"/>
        <v>1.9069871019782738</v>
      </c>
      <c r="K25" s="2">
        <f>COUNTIF($E$2:E25,"&gt;"&amp;D25)</f>
        <v>1</v>
      </c>
      <c r="N25">
        <f t="shared" si="3"/>
        <v>4.7799187132568761</v>
      </c>
      <c r="R25">
        <v>115</v>
      </c>
      <c r="S25" s="2">
        <f t="shared" si="5"/>
        <v>33</v>
      </c>
      <c r="T25">
        <v>115</v>
      </c>
      <c r="U25" s="2">
        <f t="shared" si="6"/>
        <v>26</v>
      </c>
    </row>
    <row r="26" spans="1:21" x14ac:dyDescent="0.45">
      <c r="A26">
        <v>25</v>
      </c>
      <c r="B26" s="1">
        <v>1.9777723804165429E-2</v>
      </c>
      <c r="C26" s="1">
        <v>4.1210479507085305</v>
      </c>
      <c r="D26" s="1">
        <f t="shared" si="4"/>
        <v>100.42952025339351</v>
      </c>
      <c r="E26" s="1">
        <f t="shared" si="2"/>
        <v>105.18966124284621</v>
      </c>
      <c r="F26" s="1">
        <f t="shared" si="0"/>
        <v>109.31070919355474</v>
      </c>
      <c r="G26" s="1">
        <f t="shared" si="1"/>
        <v>4.760140989452708</v>
      </c>
      <c r="K26" s="2">
        <f>COUNTIF($E$2:E26,"&gt;"&amp;D26)</f>
        <v>2</v>
      </c>
      <c r="N26">
        <f t="shared" si="3"/>
        <v>8.8811889401612376</v>
      </c>
      <c r="R26">
        <v>120</v>
      </c>
      <c r="S26" s="2">
        <f t="shared" si="5"/>
        <v>35</v>
      </c>
      <c r="T26">
        <v>120</v>
      </c>
      <c r="U26" s="2">
        <f t="shared" si="6"/>
        <v>27</v>
      </c>
    </row>
    <row r="27" spans="1:21" x14ac:dyDescent="0.45">
      <c r="A27">
        <v>26</v>
      </c>
      <c r="B27" s="1">
        <v>0.10633570275254095</v>
      </c>
      <c r="C27" s="1">
        <v>3.9761603255771902</v>
      </c>
      <c r="D27" s="1">
        <f t="shared" si="4"/>
        <v>100.53585595614605</v>
      </c>
      <c r="E27" s="1">
        <f t="shared" si="2"/>
        <v>109.31070919355474</v>
      </c>
      <c r="F27" s="1">
        <f t="shared" si="0"/>
        <v>113.28686951913193</v>
      </c>
      <c r="G27" s="1">
        <f t="shared" si="1"/>
        <v>8.7748532374086921</v>
      </c>
      <c r="K27" s="2">
        <f>COUNTIF($E$2:E27,"&gt;"&amp;D27)</f>
        <v>3</v>
      </c>
      <c r="N27">
        <f t="shared" si="3"/>
        <v>12.751013562985875</v>
      </c>
      <c r="S27" s="2"/>
      <c r="U27" s="2"/>
    </row>
    <row r="28" spans="1:21" x14ac:dyDescent="0.45">
      <c r="A28">
        <v>27</v>
      </c>
      <c r="B28" s="1">
        <v>1.1365054116304458</v>
      </c>
      <c r="C28" s="1">
        <v>4.3491925063812564</v>
      </c>
      <c r="D28" s="1">
        <f t="shared" si="4"/>
        <v>101.6723613677765</v>
      </c>
      <c r="E28" s="1">
        <f t="shared" si="2"/>
        <v>113.28686951913193</v>
      </c>
      <c r="F28" s="1">
        <f t="shared" si="0"/>
        <v>117.63606202551318</v>
      </c>
      <c r="G28" s="1">
        <f t="shared" si="1"/>
        <v>11.614508151355423</v>
      </c>
      <c r="K28" s="2">
        <f>COUNTIF($E$2:E28,"&gt;"&amp;D28)</f>
        <v>4</v>
      </c>
      <c r="N28">
        <f t="shared" si="3"/>
        <v>15.96370065773668</v>
      </c>
      <c r="S28" s="2"/>
      <c r="U28" s="2"/>
    </row>
    <row r="29" spans="1:21" x14ac:dyDescent="0.45">
      <c r="A29">
        <v>28</v>
      </c>
      <c r="B29" s="1">
        <v>3.3831682492435333</v>
      </c>
      <c r="C29" s="1">
        <v>3.2427777648942619</v>
      </c>
      <c r="D29" s="1">
        <f t="shared" si="4"/>
        <v>105.05552961702004</v>
      </c>
      <c r="E29" s="1">
        <f t="shared" si="2"/>
        <v>117.63606202551318</v>
      </c>
      <c r="F29" s="1">
        <f t="shared" si="0"/>
        <v>120.87883979040744</v>
      </c>
      <c r="G29" s="1">
        <f t="shared" si="1"/>
        <v>12.580532408493141</v>
      </c>
      <c r="K29" s="2">
        <f>COUNTIF($E$2:E29,"&gt;"&amp;D29)</f>
        <v>4</v>
      </c>
      <c r="N29">
        <f t="shared" si="3"/>
        <v>15.823310173387398</v>
      </c>
      <c r="S29" s="2"/>
      <c r="U29" s="2"/>
    </row>
    <row r="30" spans="1:21" x14ac:dyDescent="0.45">
      <c r="A30">
        <v>29</v>
      </c>
      <c r="B30" s="1">
        <v>0.26035715385501274</v>
      </c>
      <c r="C30" s="1">
        <v>4.3503786678028584</v>
      </c>
      <c r="D30" s="1">
        <f t="shared" si="4"/>
        <v>105.31588677087505</v>
      </c>
      <c r="E30" s="1">
        <f t="shared" si="2"/>
        <v>120.87883979040744</v>
      </c>
      <c r="F30" s="1">
        <f t="shared" si="0"/>
        <v>125.2292184582103</v>
      </c>
      <c r="G30" s="1">
        <f t="shared" si="1"/>
        <v>15.562953019532387</v>
      </c>
      <c r="K30" s="2">
        <f>COUNTIF($E$2:E30,"&gt;"&amp;D30)</f>
        <v>4</v>
      </c>
      <c r="N30">
        <f t="shared" si="3"/>
        <v>19.913331687335244</v>
      </c>
      <c r="S30" s="2"/>
      <c r="U30" s="2"/>
    </row>
    <row r="31" spans="1:21" x14ac:dyDescent="0.45">
      <c r="A31">
        <v>30</v>
      </c>
      <c r="B31" s="1">
        <v>0.13616419243062267</v>
      </c>
      <c r="C31" s="1">
        <v>4.4352573104186597</v>
      </c>
      <c r="D31" s="1">
        <f t="shared" ref="D31:D36" si="7">D30+B31</f>
        <v>105.45205096330568</v>
      </c>
      <c r="E31" s="1">
        <f t="shared" ref="E31:E36" si="8">MAX(D31,F30)</f>
        <v>125.2292184582103</v>
      </c>
      <c r="F31" s="1">
        <f t="shared" ref="F31:F36" si="9">E31+C31</f>
        <v>129.66447576862896</v>
      </c>
      <c r="G31" s="1">
        <f t="shared" ref="G31:G36" si="10">E31-D31</f>
        <v>19.777167494904617</v>
      </c>
      <c r="K31" s="2">
        <f>COUNTIF($E$2:E31,"&gt;"&amp;D31)</f>
        <v>5</v>
      </c>
      <c r="N31">
        <f t="shared" ref="N31:N36" si="11">F31-D31</f>
        <v>24.21242480532328</v>
      </c>
      <c r="S31" s="2"/>
      <c r="U31" s="2"/>
    </row>
    <row r="32" spans="1:21" x14ac:dyDescent="0.45">
      <c r="A32">
        <v>31</v>
      </c>
      <c r="B32" s="1">
        <v>6.3311605622909086</v>
      </c>
      <c r="C32" s="1">
        <v>3.4953272773444128</v>
      </c>
      <c r="D32" s="1">
        <f t="shared" si="7"/>
        <v>111.78321152559658</v>
      </c>
      <c r="E32" s="1">
        <f t="shared" si="8"/>
        <v>129.66447576862896</v>
      </c>
      <c r="F32" s="1">
        <f t="shared" si="9"/>
        <v>133.15980304597338</v>
      </c>
      <c r="G32" s="1">
        <f t="shared" si="10"/>
        <v>17.881264243032376</v>
      </c>
      <c r="K32" s="2">
        <f>COUNTIF($E$2:E32,"&gt;"&amp;D32)</f>
        <v>5</v>
      </c>
      <c r="N32">
        <f t="shared" si="11"/>
        <v>21.376591520376792</v>
      </c>
      <c r="S32" s="2"/>
      <c r="U32" s="2"/>
    </row>
    <row r="33" spans="1:21" x14ac:dyDescent="0.45">
      <c r="A33">
        <v>32</v>
      </c>
      <c r="B33" s="1">
        <v>1.378752170717654</v>
      </c>
      <c r="C33" s="1">
        <v>4.3572110697620046</v>
      </c>
      <c r="D33" s="1">
        <f t="shared" si="7"/>
        <v>113.16196369631425</v>
      </c>
      <c r="E33" s="1">
        <f t="shared" si="8"/>
        <v>133.15980304597338</v>
      </c>
      <c r="F33" s="1">
        <f t="shared" si="9"/>
        <v>137.51701411573538</v>
      </c>
      <c r="G33" s="1">
        <f t="shared" si="10"/>
        <v>19.997839349659131</v>
      </c>
      <c r="K33" s="2">
        <f>COUNTIF($E$2:E33,"&gt;"&amp;D33)</f>
        <v>6</v>
      </c>
      <c r="N33">
        <f t="shared" si="11"/>
        <v>24.355050419421133</v>
      </c>
      <c r="S33" s="2"/>
      <c r="U33" s="2"/>
    </row>
    <row r="34" spans="1:21" x14ac:dyDescent="0.45">
      <c r="A34">
        <v>33</v>
      </c>
      <c r="B34" s="1">
        <v>0.89289077057823063</v>
      </c>
      <c r="C34" s="1">
        <v>4.2890153498664576</v>
      </c>
      <c r="D34" s="1">
        <f t="shared" si="7"/>
        <v>114.05485446689248</v>
      </c>
      <c r="E34" s="1">
        <f t="shared" si="8"/>
        <v>137.51701411573538</v>
      </c>
      <c r="F34" s="1">
        <f t="shared" si="9"/>
        <v>141.80602946560182</v>
      </c>
      <c r="G34" s="1">
        <f t="shared" si="10"/>
        <v>23.462159648842899</v>
      </c>
      <c r="K34" s="2">
        <f>COUNTIF($E$2:E34,"&gt;"&amp;D34)</f>
        <v>6</v>
      </c>
      <c r="N34">
        <f t="shared" si="11"/>
        <v>27.751174998709345</v>
      </c>
      <c r="S34" s="2"/>
      <c r="U34" s="2"/>
    </row>
    <row r="35" spans="1:21" x14ac:dyDescent="0.45">
      <c r="A35">
        <v>34</v>
      </c>
      <c r="B35" s="1">
        <v>3.24905114577364</v>
      </c>
      <c r="C35" s="1">
        <v>2.8679164838029023</v>
      </c>
      <c r="D35" s="1">
        <f t="shared" si="7"/>
        <v>117.30390561266611</v>
      </c>
      <c r="E35" s="1">
        <f t="shared" si="8"/>
        <v>141.80602946560182</v>
      </c>
      <c r="F35" s="1">
        <f t="shared" si="9"/>
        <v>144.67394594940473</v>
      </c>
      <c r="G35" s="1">
        <f t="shared" si="10"/>
        <v>24.502123852935711</v>
      </c>
      <c r="K35" s="2">
        <f>COUNTIF($E$2:E35,"&gt;"&amp;D35)</f>
        <v>7</v>
      </c>
      <c r="N35">
        <f t="shared" si="11"/>
        <v>27.370040336738612</v>
      </c>
      <c r="S35" s="2"/>
      <c r="U35" s="2"/>
    </row>
    <row r="36" spans="1:21" x14ac:dyDescent="0.45">
      <c r="A36">
        <v>35</v>
      </c>
      <c r="B36" s="1">
        <v>2.2274645402701894</v>
      </c>
      <c r="C36" s="1">
        <v>4.2632079133157728</v>
      </c>
      <c r="D36" s="1">
        <f t="shared" si="7"/>
        <v>119.5313701529363</v>
      </c>
      <c r="E36" s="1">
        <f t="shared" si="8"/>
        <v>144.67394594940473</v>
      </c>
      <c r="F36" s="1">
        <f t="shared" si="9"/>
        <v>148.93715386272049</v>
      </c>
      <c r="G36" s="1">
        <f t="shared" si="10"/>
        <v>25.142575796468421</v>
      </c>
      <c r="K36" s="2">
        <f>COUNTIF($E$2:E36,"&gt;"&amp;D36)</f>
        <v>7</v>
      </c>
      <c r="N36">
        <f t="shared" si="11"/>
        <v>29.405783709784188</v>
      </c>
      <c r="S36" s="2"/>
      <c r="U36" s="2"/>
    </row>
  </sheetData>
  <phoneticPr fontId="3" type="noConversion"/>
  <pageMargins left="0.75" right="0.75" top="1" bottom="1" header="0.5" footer="0.5"/>
  <pageSetup orientation="portrait" horizontalDpi="4294967292" verticalDpi="4294967292"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UniformST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Nana Zhu</dc:creator>
  <cp:lastModifiedBy>Jiawei Lu (Student)</cp:lastModifiedBy>
  <dcterms:created xsi:type="dcterms:W3CDTF">2014-09-06T00:54:02Z</dcterms:created>
  <dcterms:modified xsi:type="dcterms:W3CDTF">2018-11-08T19:27:26Z</dcterms:modified>
</cp:coreProperties>
</file>